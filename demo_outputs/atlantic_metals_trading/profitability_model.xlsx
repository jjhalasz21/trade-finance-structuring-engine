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M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sz val="11"/>
    </font>
    <font>
      <b val="1"/>
      <color rgb="00CC0000"/>
      <sz val="11"/>
    </font>
    <font>
      <color rgb="00000000"/>
      <sz val="9"/>
    </font>
    <font>
      <b val="1"/>
      <color rgb="00CC0000"/>
      <sz val="9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3" borderId="0" pivotButton="0" quotePrefix="0" xfId="0"/>
    <xf numFmtId="1" fontId="2" fillId="3" borderId="0" pivotButton="0" quotePrefix="0" xfId="0"/>
    <xf numFmtId="10" fontId="2" fillId="3" borderId="0" pivotButton="0" quotePrefix="0" xfId="0"/>
    <xf numFmtId="164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5" fontId="5" fillId="3" borderId="0" pivotButton="0" quotePrefix="0" xfId="0"/>
    <xf numFmtId="165" fontId="6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INPUTS (edit yellow cells)</t>
        </is>
      </c>
    </row>
    <row r="2">
      <c r="A2" s="2" t="inlineStr">
        <is>
          <t>Facility Limit ($M)</t>
        </is>
      </c>
      <c r="B2" s="3" t="n">
        <v>97</v>
      </c>
    </row>
    <row r="3">
      <c r="A3" s="2" t="inlineStr">
        <is>
          <t>Drawn Balance ($M)</t>
        </is>
      </c>
      <c r="B3" s="3" t="n">
        <v>72.75</v>
      </c>
    </row>
    <row r="4">
      <c r="A4" s="2" t="inlineStr">
        <is>
          <t>Margin (bps)</t>
        </is>
      </c>
      <c r="B4" s="4" t="n">
        <v>235</v>
      </c>
    </row>
    <row r="5">
      <c r="A5" s="2" t="inlineStr">
        <is>
          <t>Fee (bps)</t>
        </is>
      </c>
      <c r="B5" s="4" t="n">
        <v>50</v>
      </c>
    </row>
    <row r="6">
      <c r="A6" s="2" t="inlineStr">
        <is>
          <t>FTP Rate</t>
        </is>
      </c>
      <c r="B6" s="5" t="n">
        <v>0.002</v>
      </c>
    </row>
    <row r="7">
      <c r="A7" s="2" t="inlineStr">
        <is>
          <t>Tax Rate</t>
        </is>
      </c>
      <c r="B7" s="5" t="n">
        <v>0.25</v>
      </c>
    </row>
    <row r="8">
      <c r="A8" s="2" t="inlineStr">
        <is>
          <t>RWA ($M)</t>
        </is>
      </c>
      <c r="B8" s="3" t="n">
        <v>84.875</v>
      </c>
    </row>
    <row r="9">
      <c r="A9" s="2" t="inlineStr">
        <is>
          <t>Capital ($M)</t>
        </is>
      </c>
      <c r="B9" s="3" t="n">
        <v>10.185</v>
      </c>
    </row>
    <row r="10">
      <c r="A10" s="2" t="inlineStr">
        <is>
          <t>OpEx ($M)</t>
        </is>
      </c>
      <c r="B10" s="3" t="n">
        <v>0.2</v>
      </c>
    </row>
    <row r="11">
      <c r="A11" s="2" t="inlineStr">
        <is>
          <t>PD</t>
        </is>
      </c>
      <c r="B11" s="5" t="n">
        <v>0.0005</v>
      </c>
    </row>
    <row r="12">
      <c r="A12" s="2" t="inlineStr">
        <is>
          <t>LGD</t>
        </is>
      </c>
      <c r="B12" s="5" t="n">
        <v>0.45</v>
      </c>
    </row>
    <row r="14">
      <c r="A14" s="1" t="inlineStr">
        <is>
          <t>ROE WATERFALL</t>
        </is>
      </c>
    </row>
    <row r="15">
      <c r="A15" s="2" t="inlineStr">
        <is>
          <t>Gross Revenue ($M)</t>
        </is>
      </c>
      <c r="B15" s="6">
        <f>B3*(B4/10000)+B3*(B5/10000)</f>
        <v/>
      </c>
    </row>
    <row r="16">
      <c r="A16" s="7" t="inlineStr">
        <is>
          <t>(-) Cost of Funds ($M)</t>
        </is>
      </c>
      <c r="B16" s="8">
        <f>B3*B6</f>
        <v/>
      </c>
    </row>
    <row r="17">
      <c r="A17" s="2" t="inlineStr">
        <is>
          <t>(-) Operating Cost ($M)</t>
        </is>
      </c>
      <c r="B17" s="6">
        <f>B10</f>
        <v/>
      </c>
    </row>
    <row r="18">
      <c r="A18" s="7" t="inlineStr">
        <is>
          <t>(-) Expected Loss ($M)</t>
        </is>
      </c>
      <c r="B18" s="8">
        <f>B8*B11*B12</f>
        <v/>
      </c>
    </row>
    <row r="19">
      <c r="A19" s="9">
        <f> Pre-Tax NII ($M)</f>
        <v/>
      </c>
      <c r="B19" s="10">
        <f>B15-B16-B17-B18</f>
        <v/>
      </c>
    </row>
    <row r="20">
      <c r="A20" s="7" t="inlineStr">
        <is>
          <t>(-) Tax ($M)</t>
        </is>
      </c>
      <c r="B20" s="8">
        <f>MAX(B19*B7,0)</f>
        <v/>
      </c>
    </row>
    <row r="21">
      <c r="A21" s="9">
        <f> Post-Tax NII ($M)</f>
        <v/>
      </c>
      <c r="B21" s="10">
        <f>B19-B20</f>
        <v/>
      </c>
    </row>
    <row r="22">
      <c r="A22" s="7" t="inlineStr">
        <is>
          <t>Allocated Capital ($M)</t>
        </is>
      </c>
      <c r="B22" s="8">
        <f>B9</f>
        <v/>
      </c>
    </row>
    <row r="24">
      <c r="A24" s="11" t="inlineStr">
        <is>
          <t>POST-TAX ROE</t>
        </is>
      </c>
      <c r="B24" s="12">
        <f>B21/B22</f>
        <v/>
      </c>
    </row>
    <row r="28">
      <c r="A28" s="1" t="inlineStr">
        <is>
          <t>SENSITIVITY: RoE vs Utilisation &amp; Margin</t>
        </is>
      </c>
    </row>
    <row r="29">
      <c r="A29" s="9" t="inlineStr">
        <is>
          <t>Utilisation \ Margin</t>
        </is>
      </c>
      <c r="B29" s="9" t="inlineStr">
        <is>
          <t>Margin -25bps</t>
        </is>
      </c>
      <c r="C29" s="9" t="inlineStr">
        <is>
          <t>Margin +0bps</t>
        </is>
      </c>
      <c r="D29" s="9" t="inlineStr">
        <is>
          <t>Margin +25bps</t>
        </is>
      </c>
    </row>
    <row r="30">
      <c r="A30" s="2" t="inlineStr">
        <is>
          <t>60% utilisation</t>
        </is>
      </c>
      <c r="B30" s="13">
        <f>((((B2*0.6)*((B4+-25)/10000+B5/10000)-(B2*0.6)*B6-B10-B8*B11*B12)-MAX(((B2*0.6)*((B4+-25)/10000+B5/10000)-(B2*0.6)*B6-B10-B8*B11*B12)*B7,0)))/B9</f>
        <v/>
      </c>
      <c r="C30" s="13">
        <f>((((B2*0.6)*((B4+0)/10000+B5/10000)-(B2*0.6)*B6-B10-B8*B11*B12)-MAX(((B2*0.6)*((B4+0)/10000+B5/10000)-(B2*0.6)*B6-B10-B8*B11*B12)*B7,0)))/B9</f>
        <v/>
      </c>
      <c r="D30" s="13">
        <f>((((B2*0.6)*((B4+25)/10000+B5/10000)-(B2*0.6)*B6-B10-B8*B11*B12)-MAX(((B2*0.6)*((B4+25)/10000+B5/10000)-(B2*0.6)*B6-B10-B8*B11*B12)*B7,0)))/B9</f>
        <v/>
      </c>
    </row>
    <row r="31">
      <c r="A31" s="2" t="inlineStr">
        <is>
          <t>75% utilisation</t>
        </is>
      </c>
      <c r="B31" s="13">
        <f>((((B2*0.75)*((B4+-25)/10000+B5/10000)-(B2*0.75)*B6-B10-B8*B11*B12)-MAX(((B2*0.75)*((B4+-25)/10000+B5/10000)-(B2*0.75)*B6-B10-B8*B11*B12)*B7,0)))/B9</f>
        <v/>
      </c>
      <c r="C31" s="14">
        <f>((((B2*0.75)*((B4+0)/10000+B5/10000)-(B2*0.75)*B6-B10-B8*B11*B12)-MAX(((B2*0.75)*((B4+0)/10000+B5/10000)-(B2*0.75)*B6-B10-B8*B11*B12)*B7,0)))/B9</f>
        <v/>
      </c>
      <c r="D31" s="13">
        <f>((((B2*0.75)*((B4+25)/10000+B5/10000)-(B2*0.75)*B6-B10-B8*B11*B12)-MAX(((B2*0.75)*((B4+25)/10000+B5/10000)-(B2*0.75)*B6-B10-B8*B11*B12)*B7,0)))/B9</f>
        <v/>
      </c>
    </row>
    <row r="32">
      <c r="A32" s="2" t="inlineStr">
        <is>
          <t>90% utilisation</t>
        </is>
      </c>
      <c r="B32" s="13">
        <f>((((B2*0.9)*((B4+-25)/10000+B5/10000)-(B2*0.9)*B6-B10-B8*B11*B12)-MAX(((B2*0.9)*((B4+-25)/10000+B5/10000)-(B2*0.9)*B6-B10-B8*B11*B12)*B7,0)))/B9</f>
        <v/>
      </c>
      <c r="C32" s="13">
        <f>((((B2*0.9)*((B4+0)/10000+B5/10000)-(B2*0.9)*B6-B10-B8*B11*B12)-MAX(((B2*0.9)*((B4+0)/10000+B5/10000)-(B2*0.9)*B6-B10-B8*B11*B12)*B7,0)))/B9</f>
        <v/>
      </c>
      <c r="D32" s="13">
        <f>((((B2*0.9)*((B4+25)/10000+B5/10000)-(B2*0.9)*B6-B10-B8*B11*B12)-MAX(((B2*0.9)*((B4+25)/10000+B5/10000)-(B2*0.9)*B6-B10-B8*B11*B12)*B7,0)))/B9</f>
        <v/>
      </c>
    </row>
  </sheetData>
  <mergeCells count="3">
    <mergeCell ref="A1:C1"/>
    <mergeCell ref="A28:C28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2026-05-06T23:36:48Z</dcterms:created>
  <dcterms:modified xsi:type="dcterms:W3CDTF">2026-05-06T23:36:48Z</dcterms:modified>
</cp:coreProperties>
</file>